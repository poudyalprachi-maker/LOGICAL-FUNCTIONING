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E7B991C-6191-4432-9BD7-67BFA214AB79}" xr6:coauthVersionLast="47" xr6:coauthVersionMax="47" xr10:uidLastSave="{00000000-0000-0000-0000-000000000000}"/>
  <bookViews>
    <workbookView xWindow="-108" yWindow="-108" windowWidth="23256" windowHeight="12456" activeTab="4" xr2:uid="{67D955EC-DFC5-4035-BEC0-947E2D90FD5C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8" l="1"/>
  <c r="H11" i="7"/>
  <c r="F11" i="7"/>
  <c r="H14" i="6"/>
  <c r="H16" i="6"/>
  <c r="H15" i="6"/>
  <c r="F19" i="5"/>
  <c r="F15" i="4"/>
  <c r="G14" i="2"/>
  <c r="G15" i="2"/>
  <c r="G16" i="2"/>
  <c r="G13" i="2"/>
  <c r="D17" i="4"/>
  <c r="D22" i="3" a="1"/>
  <c r="D18" i="2" a="1"/>
  <c r="C22" i="1" a="1"/>
  <c r="D22" i="3" l="1"/>
  <c r="D18" i="2"/>
  <c r="C22" i="1"/>
  <c r="F15" i="1"/>
  <c r="F16" i="1"/>
  <c r="F17" i="1"/>
  <c r="F18" i="1"/>
  <c r="F19" i="1"/>
  <c r="G15" i="3"/>
  <c r="G16" i="3"/>
  <c r="G17" i="3"/>
  <c r="G18" i="3"/>
  <c r="G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<sst xmlns="http://schemas.openxmlformats.org/spreadsheetml/2006/main" count="139" uniqueCount="82">
  <si>
    <t>Q. 1</t>
  </si>
  <si>
    <t>Marks</t>
  </si>
  <si>
    <t>Student Name</t>
  </si>
  <si>
    <t>Riya</t>
  </si>
  <si>
    <t>Siya</t>
  </si>
  <si>
    <t>Raju</t>
  </si>
  <si>
    <t>Rahul</t>
  </si>
  <si>
    <t>Ram</t>
  </si>
  <si>
    <t>Write a formula to check if the marks in cell B2 are greater than or equal to 40. If yes, return ,"Pass",  otherwise  "Fail"</t>
  </si>
  <si>
    <t>Ans</t>
  </si>
  <si>
    <t>Result</t>
  </si>
  <si>
    <t xml:space="preserve">Raj </t>
  </si>
  <si>
    <t>Neha</t>
  </si>
  <si>
    <t>Vivek</t>
  </si>
  <si>
    <t xml:space="preserve">Rani </t>
  </si>
  <si>
    <t>Sneha</t>
  </si>
  <si>
    <t>are ≥ 90 → , ≥ 75 → , ≥ 50 → , otherwise . B2 "A" "B" "C" "Fail</t>
  </si>
  <si>
    <t>result</t>
  </si>
  <si>
    <t>Ans.</t>
  </si>
  <si>
    <t xml:space="preserve">Q. 3 </t>
  </si>
  <si>
    <t>Find the Department of Employee ID = E103. Also explain which LOOKUP function is used and why?</t>
  </si>
  <si>
    <t>Q.4</t>
  </si>
  <si>
    <t>EmpID</t>
  </si>
  <si>
    <t>Name</t>
  </si>
  <si>
    <t>Department</t>
  </si>
  <si>
    <t>IT</t>
  </si>
  <si>
    <t>HR</t>
  </si>
  <si>
    <t>Finance</t>
  </si>
  <si>
    <t>Sales</t>
  </si>
  <si>
    <t>Roshini</t>
  </si>
  <si>
    <t>Sejal</t>
  </si>
  <si>
    <t>E104</t>
  </si>
  <si>
    <t>E103</t>
  </si>
  <si>
    <t>E102</t>
  </si>
  <si>
    <t>E101</t>
  </si>
  <si>
    <t>Employee</t>
  </si>
  <si>
    <t>Attendance</t>
  </si>
  <si>
    <t>Arjun</t>
  </si>
  <si>
    <t>Simran</t>
  </si>
  <si>
    <t>Rohit</t>
  </si>
  <si>
    <t>Anjali</t>
  </si>
  <si>
    <t>2.   A company gives a bonus  if sales are above 40,000 and attendance is greater than or equal to 90%. Write a
formula to calculate whether the employee will get a bonus or not .</t>
  </si>
  <si>
    <t xml:space="preserve">Bonus </t>
  </si>
  <si>
    <t xml:space="preserve">Ans. </t>
  </si>
  <si>
    <t xml:space="preserve">if Marks in B2 </t>
  </si>
  <si>
    <t xml:space="preserve">Write a nested IF formula: </t>
  </si>
  <si>
    <t xml:space="preserve">I used Xlookup function because it  works on BOTH vertical and horizontal data , No column index number needed and </t>
  </si>
  <si>
    <t>it Doesn’t break when columns change</t>
  </si>
  <si>
    <t>although we could have used vlookup as well but I chose Xlookup cuz its superior and better lookup</t>
  </si>
  <si>
    <t>A company has set the following commission structure for its sales team:</t>
  </si>
  <si>
    <t>Q. 5</t>
  </si>
  <si>
    <t>Sales Amount</t>
  </si>
  <si>
    <t>Commission Rate</t>
  </si>
  <si>
    <t>If a salesperson achieves sales of ₹45,000, use the VLOOKUP function to determine the commission rate
applicable.</t>
  </si>
  <si>
    <t>Formula =VLOOKUP(H13,E13:F16,2,TRUE)</t>
  </si>
  <si>
    <t xml:space="preserve">The HR department maintains the following leave records of employees:onus or not </t>
  </si>
  <si>
    <t>Q. 6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</si>
  <si>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</si>
  <si>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</si>
  <si>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</si>
  <si>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</si>
  <si>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</si>
  <si>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</si>
  <si>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</t>
  </si>
  <si>
    <t>* If Leaves Taken &gt; Allowed Leaves, display "Exceeded"</t>
  </si>
  <si>
    <t>* Otherwise, display "OK".</t>
  </si>
  <si>
    <t xml:space="preserve">Check </t>
  </si>
  <si>
    <t>Formula =IF(F14&gt;G14,"Exceed","Ok")</t>
  </si>
  <si>
    <t>Find the salary of EmpID = E105 using INDEX-MATCH Function.</t>
  </si>
  <si>
    <t>Q. 7</t>
  </si>
  <si>
    <t>Salary</t>
  </si>
  <si>
    <t>E106</t>
  </si>
  <si>
    <t>E105</t>
  </si>
  <si>
    <t>formula =INDEX(G4:G7,MATCH(F5,F4:F7,0))</t>
  </si>
  <si>
    <t>Q. 8</t>
  </si>
  <si>
    <t>Use the XLOOKUP function to find the Department of the employee with Emp ID = E303.</t>
  </si>
  <si>
    <t>E301</t>
  </si>
  <si>
    <t>E303</t>
  </si>
  <si>
    <t>xlookup</t>
  </si>
  <si>
    <t>Formula =XLOOKUP(E13,E5:E8,F5:F8,"Not Found",0,1)</t>
  </si>
  <si>
    <t>FORMULA-</t>
  </si>
  <si>
    <t xml:space="preserve">FORMULA-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</si>
</sst>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3" fillId="5" borderId="0" xfId="0" applyFont="1" applyFill="1"/>
    <xf numFmtId="0" fontId="2" fillId="6" borderId="0" xfId="0" applyFont="1" applyFill="1"/>
    <xf numFmtId="0" fontId="0" fillId="7" borderId="0" xfId="0" applyFill="1"/>
    <xf numFmtId="0" fontId="2" fillId="4" borderId="0" xfId="0" applyFont="1" applyFill="1"/>
    <xf numFmtId="0" fontId="0" fillId="4" borderId="0" xfId="0" applyFill="1"/>
    <xf numFmtId="0" fontId="6" fillId="0" borderId="0" xfId="0" applyFont="1"/>
    <xf numFmtId="0" fontId="2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1" fillId="11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6" borderId="0" xfId="0" applyFill="1"/>
    <xf numFmtId="0" fontId="3" fillId="4" borderId="0" xfId="0" applyFont="1" applyFill="1"/>
    <xf numFmtId="0" fontId="7" fillId="4" borderId="0" xfId="0" applyFont="1" applyFill="1"/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2" borderId="0" xfId="0" applyFont="1" applyFill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8" fillId="0" borderId="0" xfId="0" applyFont="1"/>
    <xf numFmtId="0" fontId="6" fillId="6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/>
    <xf numFmtId="0" fontId="6" fillId="4" borderId="0" xfId="0" applyFont="1" applyFill="1"/>
    <xf numFmtId="0" fontId="4" fillId="14" borderId="1" xfId="0" applyFont="1" applyFill="1" applyBorder="1"/>
    <xf numFmtId="0" fontId="6" fillId="14" borderId="1" xfId="0" applyFont="1" applyFill="1" applyBorder="1"/>
    <xf numFmtId="0" fontId="3" fillId="3" borderId="0" xfId="0" applyFont="1" applyFill="1"/>
    <xf numFmtId="0" fontId="2" fillId="0" borderId="0" xfId="0" applyFont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9" fontId="6" fillId="16" borderId="1" xfId="0" applyNumberFormat="1" applyFont="1" applyFill="1" applyBorder="1" applyAlignment="1">
      <alignment horizontal="center"/>
    </xf>
    <xf numFmtId="0" fontId="6" fillId="3" borderId="0" xfId="0" applyFont="1" applyFill="1"/>
    <xf numFmtId="0" fontId="1" fillId="9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2" fillId="4" borderId="0" xfId="0" applyFont="1" applyFill="1"/>
    <xf numFmtId="0" fontId="6" fillId="0" borderId="0" xfId="0" applyFont="1"/>
    <xf numFmtId="0" fontId="3" fillId="4" borderId="0" xfId="0" applyFont="1" applyFill="1"/>
    <xf numFmtId="0" fontId="2" fillId="9" borderId="0" xfId="0" applyFont="1" applyFill="1"/>
    <xf numFmtId="0" fontId="6" fillId="14" borderId="3" xfId="0" applyFont="1" applyFill="1" applyBorder="1"/>
    <xf numFmtId="0" fontId="6" fillId="1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7E81-E11E-4FB7-8311-FC5B7DB66C76}">
  <sheetPr>
    <tabColor theme="5" tint="0.79998168889431442"/>
  </sheetPr>
  <dimension ref="B2:P26"/>
  <sheetViews>
    <sheetView topLeftCell="A6" workbookViewId="0">
      <selection activeCell="C21" sqref="C21"/>
    </sheetView>
  </sheetViews>
  <sheetFormatPr defaultRowHeight="14.4" x14ac:dyDescent="0.3"/>
  <cols>
    <col min="4" max="4" width="12.77734375" bestFit="1" customWidth="1"/>
  </cols>
  <sheetData>
    <row r="2" spans="2:16" ht="18" x14ac:dyDescent="0.35">
      <c r="B2" s="7" t="s">
        <v>0</v>
      </c>
      <c r="C2" s="7" t="s">
        <v>8</v>
      </c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8"/>
    </row>
    <row r="4" spans="2:16" x14ac:dyDescent="0.3">
      <c r="D4" s="58" t="s">
        <v>2</v>
      </c>
      <c r="E4" s="58" t="s">
        <v>1</v>
      </c>
    </row>
    <row r="5" spans="2:16" ht="15.6" x14ac:dyDescent="0.3">
      <c r="D5" s="19" t="s">
        <v>3</v>
      </c>
      <c r="E5" s="19">
        <v>45</v>
      </c>
    </row>
    <row r="6" spans="2:16" ht="15.6" x14ac:dyDescent="0.3">
      <c r="D6" s="19" t="s">
        <v>4</v>
      </c>
      <c r="E6" s="19">
        <v>72</v>
      </c>
    </row>
    <row r="7" spans="2:16" ht="15.6" x14ac:dyDescent="0.3">
      <c r="D7" s="19" t="s">
        <v>5</v>
      </c>
      <c r="E7" s="19">
        <v>55</v>
      </c>
    </row>
    <row r="8" spans="2:16" ht="15.6" x14ac:dyDescent="0.3">
      <c r="D8" s="19" t="s">
        <v>6</v>
      </c>
      <c r="E8" s="19">
        <v>80</v>
      </c>
    </row>
    <row r="9" spans="2:16" ht="15.6" x14ac:dyDescent="0.3">
      <c r="D9" s="19" t="s">
        <v>7</v>
      </c>
      <c r="E9" s="19">
        <v>30</v>
      </c>
    </row>
    <row r="10" spans="2:16" ht="15.6" x14ac:dyDescent="0.3">
      <c r="D10" s="9"/>
      <c r="E10" s="9"/>
    </row>
    <row r="12" spans="2:16" ht="18" x14ac:dyDescent="0.35">
      <c r="B12" s="5" t="s">
        <v>9</v>
      </c>
    </row>
    <row r="14" spans="2:16" x14ac:dyDescent="0.3">
      <c r="D14" s="2" t="s">
        <v>2</v>
      </c>
      <c r="E14" s="2" t="s">
        <v>1</v>
      </c>
      <c r="F14" s="2" t="s">
        <v>10</v>
      </c>
    </row>
    <row r="15" spans="2:16" x14ac:dyDescent="0.3">
      <c r="D15" s="1" t="s">
        <v>3</v>
      </c>
      <c r="E15" s="1">
        <v>45</v>
      </c>
      <c r="F15" s="1" t="str">
        <f>IF(E15&gt;=40,"pass","fail")</f>
        <v>pass</v>
      </c>
    </row>
    <row r="16" spans="2:16" x14ac:dyDescent="0.3">
      <c r="D16" s="1" t="s">
        <v>4</v>
      </c>
      <c r="E16" s="1">
        <v>72</v>
      </c>
      <c r="F16" s="1" t="str">
        <f t="shared" ref="F16:F19" si="0">IF(E16&gt;=40,"pass","fail")</f>
        <v>pass</v>
      </c>
    </row>
    <row r="17" spans="3:6" x14ac:dyDescent="0.3">
      <c r="D17" s="1" t="s">
        <v>5</v>
      </c>
      <c r="E17" s="1">
        <v>55</v>
      </c>
      <c r="F17" s="1" t="str">
        <f t="shared" si="0"/>
        <v>pass</v>
      </c>
    </row>
    <row r="18" spans="3:6" x14ac:dyDescent="0.3">
      <c r="D18" s="1" t="s">
        <v>6</v>
      </c>
      <c r="E18" s="1">
        <v>80</v>
      </c>
      <c r="F18" s="1" t="str">
        <f t="shared" si="0"/>
        <v>pass</v>
      </c>
    </row>
    <row r="19" spans="3:6" x14ac:dyDescent="0.3">
      <c r="D19" s="1" t="s">
        <v>7</v>
      </c>
      <c r="E19" s="1">
        <v>30</v>
      </c>
      <c r="F19" s="1" t="str">
        <f t="shared" si="0"/>
        <v>fail</v>
      </c>
    </row>
    <row r="21" spans="3:6" x14ac:dyDescent="0.3">
      <c r="C21" t="s">
        <v>80</v>
      </c>
    </row>
    <row r="22" spans="3:6" x14ac:dyDescent="0.3">
      <c r="C22" s="6" t="str" cm="1">
        <f t="array" aca="1" ref="C22:C26" ca="1">_xlfn.FORMULATEXT(F15:F19)</f>
        <v>=IF(E15&gt;=40,"pass","fail")</v>
      </c>
      <c r="D22" s="6"/>
      <c r="E22" s="6"/>
    </row>
    <row r="23" spans="3:6" x14ac:dyDescent="0.3">
      <c r="C23" t="str">
        <f ca="1"/>
        <v>=IF(E16&gt;=40,"pass","fail")</v>
      </c>
    </row>
    <row r="24" spans="3:6" x14ac:dyDescent="0.3">
      <c r="C24" t="str">
        <f ca="1"/>
        <v>=IF(E17&gt;=40,"pass","fail")</v>
      </c>
    </row>
    <row r="25" spans="3:6" x14ac:dyDescent="0.3">
      <c r="C25" t="str">
        <f ca="1"/>
        <v>=IF(E18&gt;=40,"pass","fail")</v>
      </c>
    </row>
    <row r="26" spans="3:6" x14ac:dyDescent="0.3">
      <c r="C26" t="str">
        <f ca="1"/>
        <v>=IF(E19&gt;=40,"pass","fail")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3273-2300-4BCE-A423-B84B5D68FBD7}">
  <sheetPr>
    <tabColor theme="5" tint="0.59999389629810485"/>
  </sheetPr>
  <dimension ref="B1:U21"/>
  <sheetViews>
    <sheetView topLeftCell="A5" workbookViewId="0">
      <selection activeCell="I22" sqref="I22"/>
    </sheetView>
  </sheetViews>
  <sheetFormatPr defaultRowHeight="14.4" x14ac:dyDescent="0.3"/>
  <cols>
    <col min="4" max="4" width="14" customWidth="1"/>
    <col min="5" max="5" width="10.77734375" customWidth="1"/>
    <col min="6" max="6" width="14.109375" customWidth="1"/>
    <col min="7" max="7" width="11.5546875" bestFit="1" customWidth="1"/>
  </cols>
  <sheetData>
    <row r="1" spans="2:21" ht="22.2" customHeight="1" x14ac:dyDescent="0.35">
      <c r="B1" s="7" t="s">
        <v>41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3" spans="2:21" ht="18" x14ac:dyDescent="0.3">
      <c r="D3" s="15" t="s">
        <v>35</v>
      </c>
      <c r="E3" s="15" t="s">
        <v>28</v>
      </c>
      <c r="F3" s="15" t="s">
        <v>36</v>
      </c>
    </row>
    <row r="4" spans="2:21" ht="18" x14ac:dyDescent="0.3">
      <c r="D4" s="16" t="s">
        <v>37</v>
      </c>
      <c r="E4" s="16">
        <v>55000</v>
      </c>
      <c r="F4" s="16">
        <v>95</v>
      </c>
    </row>
    <row r="5" spans="2:21" ht="18" x14ac:dyDescent="0.3">
      <c r="D5" s="16" t="s">
        <v>38</v>
      </c>
      <c r="E5" s="16">
        <v>65000</v>
      </c>
      <c r="F5" s="16">
        <v>85</v>
      </c>
    </row>
    <row r="6" spans="2:21" ht="18" x14ac:dyDescent="0.3">
      <c r="D6" s="16" t="s">
        <v>39</v>
      </c>
      <c r="E6" s="16">
        <v>30000</v>
      </c>
      <c r="F6" s="16">
        <v>90</v>
      </c>
    </row>
    <row r="7" spans="2:21" ht="18" x14ac:dyDescent="0.3">
      <c r="D7" s="16" t="s">
        <v>40</v>
      </c>
      <c r="E7" s="16">
        <v>25000</v>
      </c>
      <c r="F7" s="16">
        <v>65</v>
      </c>
    </row>
    <row r="9" spans="2:21" ht="21" x14ac:dyDescent="0.4">
      <c r="B9" s="4" t="s">
        <v>43</v>
      </c>
    </row>
    <row r="12" spans="2:21" ht="18" x14ac:dyDescent="0.35">
      <c r="D12" s="11" t="s">
        <v>35</v>
      </c>
      <c r="E12" s="11" t="s">
        <v>28</v>
      </c>
      <c r="F12" s="11" t="s">
        <v>36</v>
      </c>
      <c r="G12" s="12" t="s">
        <v>42</v>
      </c>
      <c r="H12" s="10"/>
    </row>
    <row r="13" spans="2:21" ht="18" x14ac:dyDescent="0.35">
      <c r="D13" s="13" t="s">
        <v>37</v>
      </c>
      <c r="E13" s="13">
        <v>55000</v>
      </c>
      <c r="F13" s="13">
        <v>95</v>
      </c>
      <c r="G13" s="14" t="str">
        <f>IF(OR(E13&gt;40000,F13&gt;=90),"Bonus","No Bonus")</f>
        <v>Bonus</v>
      </c>
      <c r="H13" s="10"/>
    </row>
    <row r="14" spans="2:21" ht="18" x14ac:dyDescent="0.35">
      <c r="D14" s="13" t="s">
        <v>38</v>
      </c>
      <c r="E14" s="13">
        <v>65000</v>
      </c>
      <c r="F14" s="13">
        <v>85</v>
      </c>
      <c r="G14" s="14" t="str">
        <f t="shared" ref="G14:G16" si="0">IF(AND(E14&gt;40000,F14&gt;=90),"Bonus","No Bonus")</f>
        <v>No Bonus</v>
      </c>
      <c r="H14" s="10"/>
    </row>
    <row r="15" spans="2:21" ht="18" x14ac:dyDescent="0.35">
      <c r="D15" s="13" t="s">
        <v>39</v>
      </c>
      <c r="E15" s="13">
        <v>30000</v>
      </c>
      <c r="F15" s="13">
        <v>90</v>
      </c>
      <c r="G15" s="14" t="str">
        <f t="shared" si="0"/>
        <v>No Bonus</v>
      </c>
      <c r="H15" s="10"/>
    </row>
    <row r="16" spans="2:21" ht="18" x14ac:dyDescent="0.35">
      <c r="D16" s="13" t="s">
        <v>40</v>
      </c>
      <c r="E16" s="13">
        <v>25000</v>
      </c>
      <c r="F16" s="13">
        <v>65</v>
      </c>
      <c r="G16" s="14" t="str">
        <f t="shared" si="0"/>
        <v>No Bonus</v>
      </c>
      <c r="H16" s="10"/>
    </row>
    <row r="18" spans="4:4" x14ac:dyDescent="0.3">
      <c r="D18" t="str" cm="1">
        <f t="array" aca="1" ref="D18:D21" ca="1">_xlfn.FORMULATEXT(G13:G16)</f>
        <v>=IF(OR(E13&gt;40000,F13&gt;=90),"Bonus","No Bonus")</v>
      </c>
    </row>
    <row r="19" spans="4:4" x14ac:dyDescent="0.3">
      <c r="D19" t="str">
        <f ca="1"/>
        <v>=IF(AND(E14&gt;40000,F14&gt;=90),"Bonus","No Bonus")</v>
      </c>
    </row>
    <row r="20" spans="4:4" x14ac:dyDescent="0.3">
      <c r="D20" t="str">
        <f ca="1"/>
        <v>=IF(AND(E15&gt;40000,F15&gt;=90),"Bonus","No Bonus")</v>
      </c>
    </row>
    <row r="21" spans="4:4" x14ac:dyDescent="0.3">
      <c r="D21" t="str">
        <f ca="1"/>
        <v>=IF(AND(E16&gt;40000,F16&gt;=90),"Bonus","No Bonus")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0EE8-5E2C-4CB2-9572-4AD5E5FD1054}">
  <sheetPr>
    <tabColor theme="5" tint="0.39997558519241921"/>
  </sheetPr>
  <dimension ref="B2:J26"/>
  <sheetViews>
    <sheetView topLeftCell="A5" zoomScaleNormal="100" workbookViewId="0">
      <selection activeCell="C22" sqref="C22"/>
    </sheetView>
  </sheetViews>
  <sheetFormatPr defaultRowHeight="14.4" x14ac:dyDescent="0.3"/>
  <cols>
    <col min="2" max="2" width="7.21875" customWidth="1"/>
    <col min="3" max="3" width="16" customWidth="1"/>
    <col min="4" max="4" width="16.77734375" customWidth="1"/>
    <col min="5" max="5" width="13.21875" bestFit="1" customWidth="1"/>
  </cols>
  <sheetData>
    <row r="2" spans="2:10" ht="21" x14ac:dyDescent="0.4">
      <c r="B2" s="25" t="s">
        <v>19</v>
      </c>
      <c r="C2" s="25" t="s">
        <v>45</v>
      </c>
      <c r="D2" s="25"/>
      <c r="E2" s="25"/>
      <c r="F2" s="26"/>
      <c r="G2" s="25"/>
      <c r="H2" s="25"/>
      <c r="I2" s="8"/>
      <c r="J2" s="8"/>
    </row>
    <row r="3" spans="2:10" ht="21" x14ac:dyDescent="0.4">
      <c r="B3" s="25"/>
      <c r="C3" s="25" t="s">
        <v>44</v>
      </c>
      <c r="D3" s="25" t="s">
        <v>16</v>
      </c>
      <c r="E3" s="25"/>
      <c r="F3" s="25"/>
      <c r="G3" s="25"/>
      <c r="H3" s="25"/>
      <c r="I3" s="8"/>
      <c r="J3" s="8"/>
    </row>
    <row r="4" spans="2:10" ht="15.6" x14ac:dyDescent="0.3">
      <c r="C4" s="9"/>
      <c r="F4" s="17"/>
      <c r="G4" s="9"/>
      <c r="H4" s="9"/>
    </row>
    <row r="5" spans="2:10" ht="15.6" x14ac:dyDescent="0.3">
      <c r="C5" s="9"/>
      <c r="D5" s="18" t="s">
        <v>2</v>
      </c>
      <c r="E5" s="18" t="s">
        <v>1</v>
      </c>
      <c r="F5" s="17"/>
      <c r="G5" s="9"/>
      <c r="H5" s="9"/>
    </row>
    <row r="6" spans="2:10" ht="15.6" x14ac:dyDescent="0.3">
      <c r="C6" s="9"/>
      <c r="D6" s="19" t="s">
        <v>11</v>
      </c>
      <c r="E6" s="19">
        <v>85</v>
      </c>
      <c r="F6" s="17"/>
      <c r="G6" s="9"/>
      <c r="H6" s="9"/>
    </row>
    <row r="7" spans="2:10" ht="15.6" x14ac:dyDescent="0.3">
      <c r="C7" s="9"/>
      <c r="D7" s="19" t="s">
        <v>12</v>
      </c>
      <c r="E7" s="19">
        <v>96</v>
      </c>
      <c r="F7" s="17"/>
      <c r="G7" s="9"/>
      <c r="H7" s="9"/>
    </row>
    <row r="8" spans="2:10" ht="15.6" x14ac:dyDescent="0.3">
      <c r="C8" s="9"/>
      <c r="D8" s="19" t="s">
        <v>13</v>
      </c>
      <c r="E8" s="19">
        <v>57</v>
      </c>
      <c r="F8" s="17"/>
      <c r="G8" s="9"/>
      <c r="H8" s="9"/>
    </row>
    <row r="9" spans="2:10" ht="15.6" x14ac:dyDescent="0.3">
      <c r="C9" s="9"/>
      <c r="D9" s="19" t="s">
        <v>14</v>
      </c>
      <c r="E9" s="19">
        <v>92</v>
      </c>
      <c r="F9" s="17"/>
      <c r="G9" s="9"/>
      <c r="H9" s="9"/>
    </row>
    <row r="10" spans="2:10" ht="15.6" x14ac:dyDescent="0.3">
      <c r="C10" s="9"/>
      <c r="D10" s="19" t="s">
        <v>15</v>
      </c>
      <c r="E10" s="19">
        <v>75</v>
      </c>
      <c r="F10" s="9"/>
      <c r="G10" s="9"/>
      <c r="H10" s="9"/>
    </row>
    <row r="14" spans="2:10" ht="21" x14ac:dyDescent="0.4">
      <c r="B14" s="4" t="s">
        <v>18</v>
      </c>
      <c r="E14" s="27" t="s">
        <v>2</v>
      </c>
      <c r="F14" s="27" t="s">
        <v>1</v>
      </c>
      <c r="G14" s="28" t="s">
        <v>17</v>
      </c>
    </row>
    <row r="15" spans="2:10" ht="15.6" x14ac:dyDescent="0.3">
      <c r="E15" s="29" t="s">
        <v>11</v>
      </c>
      <c r="F15" s="29">
        <v>85</v>
      </c>
      <c r="G15" s="30" t="str">
        <f>IF(F15&gt;=90,"A",IF(F15&gt;=75,"b",IF(F15&gt;=50,"C","Fail")))</f>
        <v>b</v>
      </c>
    </row>
    <row r="16" spans="2:10" ht="15.6" x14ac:dyDescent="0.3">
      <c r="E16" s="29" t="s">
        <v>12</v>
      </c>
      <c r="F16" s="29">
        <v>96</v>
      </c>
      <c r="G16" s="30" t="str">
        <f t="shared" ref="G16:G19" si="0">IF(F16&gt;=90,"A",IF(F16&gt;=75,"b",IF(F16&gt;=50,"C","Fail")))</f>
        <v>A</v>
      </c>
    </row>
    <row r="17" spans="3:9" ht="15.6" x14ac:dyDescent="0.3">
      <c r="E17" s="29" t="s">
        <v>13</v>
      </c>
      <c r="F17" s="29">
        <v>57</v>
      </c>
      <c r="G17" s="30" t="str">
        <f t="shared" si="0"/>
        <v>C</v>
      </c>
    </row>
    <row r="18" spans="3:9" ht="15.6" x14ac:dyDescent="0.3">
      <c r="E18" s="29" t="s">
        <v>14</v>
      </c>
      <c r="F18" s="29">
        <v>92</v>
      </c>
      <c r="G18" s="30" t="str">
        <f t="shared" si="0"/>
        <v>A</v>
      </c>
    </row>
    <row r="19" spans="3:9" ht="15.6" x14ac:dyDescent="0.3">
      <c r="E19" s="29" t="s">
        <v>15</v>
      </c>
      <c r="F19" s="29">
        <v>75</v>
      </c>
      <c r="G19" s="30" t="str">
        <f t="shared" si="0"/>
        <v>b</v>
      </c>
    </row>
    <row r="22" spans="3:9" ht="18" x14ac:dyDescent="0.35">
      <c r="C22" s="31" t="s">
        <v>81</v>
      </c>
      <c r="D22" s="32" t="str" cm="1">
        <f t="array" aca="1" ref="D22:D26" ca="1">_xlfn.FORMULATEXT(G15:G19)</f>
        <v>=IF(F15&gt;=90,"A",IF(F15&gt;=75,"b",IF(F15&gt;=50,"C","Fail")))</v>
      </c>
      <c r="E22" s="32"/>
      <c r="F22" s="32"/>
      <c r="G22" s="32"/>
      <c r="H22" s="32"/>
      <c r="I22" s="32"/>
    </row>
    <row r="23" spans="3:9" x14ac:dyDescent="0.3">
      <c r="D23" t="str">
        <f ca="1"/>
        <v>=IF(F16&gt;=90,"A",IF(F16&gt;=75,"b",IF(F16&gt;=50,"C","Fail")))</v>
      </c>
    </row>
    <row r="24" spans="3:9" x14ac:dyDescent="0.3">
      <c r="D24" t="str">
        <f ca="1"/>
        <v>=IF(F17&gt;=90,"A",IF(F17&gt;=75,"b",IF(F17&gt;=50,"C","Fail")))</v>
      </c>
    </row>
    <row r="25" spans="3:9" x14ac:dyDescent="0.3">
      <c r="D25" t="str">
        <f ca="1"/>
        <v>=IF(F18&gt;=90,"A",IF(F18&gt;=75,"b",IF(F18&gt;=50,"C","Fail")))</v>
      </c>
    </row>
    <row r="26" spans="3:9" x14ac:dyDescent="0.3">
      <c r="D26" t="str">
        <f ca="1"/>
        <v>=IF(F19&gt;=90,"A",IF(F19&gt;=75,"b",IF(F19&gt;=50,"C","Fail")))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ED89-20D6-4809-99B0-A56DAB4032D6}">
  <sheetPr>
    <tabColor theme="5" tint="-0.249977111117893"/>
  </sheetPr>
  <dimension ref="B1:M17"/>
  <sheetViews>
    <sheetView zoomScale="145" zoomScaleNormal="145" workbookViewId="0">
      <selection activeCell="C17" sqref="C17"/>
    </sheetView>
  </sheetViews>
  <sheetFormatPr defaultRowHeight="14.4" x14ac:dyDescent="0.3"/>
  <cols>
    <col min="5" max="5" width="10.88671875" bestFit="1" customWidth="1"/>
    <col min="6" max="6" width="11.109375" bestFit="1" customWidth="1"/>
  </cols>
  <sheetData>
    <row r="1" spans="2:13" x14ac:dyDescent="0.3">
      <c r="B1" s="8" t="s">
        <v>21</v>
      </c>
      <c r="C1" s="59" t="s">
        <v>20</v>
      </c>
      <c r="D1" s="59"/>
      <c r="E1" s="59"/>
      <c r="F1" s="59"/>
      <c r="G1" s="59"/>
      <c r="H1" s="59"/>
      <c r="I1" s="59"/>
      <c r="J1" s="59"/>
      <c r="K1" s="59"/>
    </row>
    <row r="4" spans="2:13" x14ac:dyDescent="0.3">
      <c r="D4" s="21" t="s">
        <v>22</v>
      </c>
      <c r="E4" s="21" t="s">
        <v>23</v>
      </c>
      <c r="F4" s="21" t="s">
        <v>24</v>
      </c>
    </row>
    <row r="5" spans="2:13" x14ac:dyDescent="0.3">
      <c r="D5" s="20" t="s">
        <v>34</v>
      </c>
      <c r="E5" s="20" t="s">
        <v>5</v>
      </c>
      <c r="F5" s="20" t="s">
        <v>25</v>
      </c>
    </row>
    <row r="6" spans="2:13" x14ac:dyDescent="0.3">
      <c r="D6" s="20" t="s">
        <v>33</v>
      </c>
      <c r="E6" s="20" t="s">
        <v>3</v>
      </c>
      <c r="F6" s="20" t="s">
        <v>26</v>
      </c>
    </row>
    <row r="7" spans="2:13" x14ac:dyDescent="0.3">
      <c r="D7" s="20" t="s">
        <v>32</v>
      </c>
      <c r="E7" s="20" t="s">
        <v>29</v>
      </c>
      <c r="F7" s="20" t="s">
        <v>27</v>
      </c>
    </row>
    <row r="8" spans="2:13" x14ac:dyDescent="0.3">
      <c r="D8" s="20" t="s">
        <v>31</v>
      </c>
      <c r="E8" s="20" t="s">
        <v>30</v>
      </c>
      <c r="F8" s="20" t="s">
        <v>28</v>
      </c>
    </row>
    <row r="10" spans="2:13" x14ac:dyDescent="0.3">
      <c r="B10" s="24" t="s">
        <v>18</v>
      </c>
      <c r="C10" s="3" t="s">
        <v>48</v>
      </c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2:13" x14ac:dyDescent="0.3">
      <c r="C11" s="3" t="s">
        <v>46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2:13" x14ac:dyDescent="0.3">
      <c r="C12" s="3" t="s">
        <v>47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4" spans="2:13" x14ac:dyDescent="0.3">
      <c r="E14" s="22" t="s">
        <v>22</v>
      </c>
      <c r="F14" s="22" t="s">
        <v>24</v>
      </c>
    </row>
    <row r="15" spans="2:13" x14ac:dyDescent="0.3">
      <c r="E15" s="23" t="s">
        <v>32</v>
      </c>
      <c r="F15" s="23" t="str">
        <f>_xlfn.XLOOKUP(E15,D5:D8,F5:F8,"Not found",0,1)</f>
        <v>Finance</v>
      </c>
    </row>
    <row r="17" spans="3:7" x14ac:dyDescent="0.3">
      <c r="C17" s="6" t="s">
        <v>80</v>
      </c>
      <c r="D17" s="6" t="str">
        <f ca="1">_xlfn.FORMULATEXT(F15)</f>
        <v>=XLOOKUP(E15,D5:D8,F5:F8,"Not found",0,1)</v>
      </c>
      <c r="E17" s="6"/>
      <c r="F17" s="6"/>
      <c r="G17" s="6"/>
    </row>
  </sheetData>
  <mergeCells count="1">
    <mergeCell ref="C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467F-1914-4B46-A3E2-D9D5E42F887C}">
  <sheetPr>
    <tabColor theme="8" tint="0.79998168889431442"/>
  </sheetPr>
  <dimension ref="B1:M22"/>
  <sheetViews>
    <sheetView tabSelected="1" workbookViewId="0">
      <selection activeCell="E22" sqref="E22"/>
    </sheetView>
  </sheetViews>
  <sheetFormatPr defaultRowHeight="14.4" x14ac:dyDescent="0.3"/>
  <cols>
    <col min="4" max="4" width="11.33203125" customWidth="1"/>
    <col min="5" max="5" width="16.6640625" customWidth="1"/>
    <col min="6" max="6" width="18.109375" customWidth="1"/>
  </cols>
  <sheetData>
    <row r="1" spans="2:13" ht="18" x14ac:dyDescent="0.35">
      <c r="B1" s="7" t="s">
        <v>50</v>
      </c>
      <c r="C1" s="7" t="s">
        <v>49</v>
      </c>
      <c r="D1" s="7"/>
      <c r="E1" s="7"/>
      <c r="F1" s="7"/>
      <c r="G1" s="7"/>
      <c r="H1" s="7"/>
      <c r="I1" s="7"/>
      <c r="J1" s="8"/>
      <c r="K1" s="8"/>
    </row>
    <row r="3" spans="2:13" ht="15.6" x14ac:dyDescent="0.3">
      <c r="E3" s="33" t="s">
        <v>51</v>
      </c>
      <c r="F3" s="33" t="s">
        <v>52</v>
      </c>
    </row>
    <row r="4" spans="2:13" ht="15.6" x14ac:dyDescent="0.3">
      <c r="E4" s="34">
        <v>0</v>
      </c>
      <c r="F4" s="34">
        <v>5</v>
      </c>
    </row>
    <row r="5" spans="2:13" ht="15.6" x14ac:dyDescent="0.3">
      <c r="E5" s="34">
        <v>20000</v>
      </c>
      <c r="F5" s="34">
        <v>10</v>
      </c>
    </row>
    <row r="6" spans="2:13" ht="15.6" x14ac:dyDescent="0.3">
      <c r="E6" s="34">
        <v>50000</v>
      </c>
      <c r="F6" s="34">
        <v>15</v>
      </c>
    </row>
    <row r="7" spans="2:13" ht="15.6" x14ac:dyDescent="0.3">
      <c r="E7" s="34">
        <v>80000</v>
      </c>
      <c r="F7" s="35">
        <v>0.2</v>
      </c>
    </row>
    <row r="8" spans="2:13" ht="18" x14ac:dyDescent="0.35">
      <c r="B8" s="7" t="s">
        <v>53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12" spans="2:13" ht="21" x14ac:dyDescent="0.4">
      <c r="B12" s="4" t="s">
        <v>18</v>
      </c>
      <c r="E12" s="54" t="s">
        <v>51</v>
      </c>
      <c r="F12" s="54" t="s">
        <v>52</v>
      </c>
    </row>
    <row r="13" spans="2:13" ht="15.6" x14ac:dyDescent="0.3">
      <c r="E13" s="55">
        <v>0</v>
      </c>
      <c r="F13" s="55">
        <v>5</v>
      </c>
    </row>
    <row r="14" spans="2:13" ht="15.6" x14ac:dyDescent="0.3">
      <c r="E14" s="55">
        <v>20000</v>
      </c>
      <c r="F14" s="55">
        <v>10</v>
      </c>
    </row>
    <row r="15" spans="2:13" ht="15.6" x14ac:dyDescent="0.3">
      <c r="E15" s="55">
        <v>50000</v>
      </c>
      <c r="F15" s="55">
        <v>15</v>
      </c>
    </row>
    <row r="16" spans="2:13" ht="15.6" x14ac:dyDescent="0.3">
      <c r="E16" s="55">
        <v>80000</v>
      </c>
      <c r="F16" s="56">
        <v>0.2</v>
      </c>
    </row>
    <row r="19" spans="4:7" x14ac:dyDescent="0.3">
      <c r="D19" s="2" t="s">
        <v>28</v>
      </c>
      <c r="F19">
        <f>VLOOKUP(D20,E13:F16,2,TRUE)</f>
        <v>10</v>
      </c>
    </row>
    <row r="20" spans="4:7" x14ac:dyDescent="0.3">
      <c r="D20" s="1">
        <v>45000</v>
      </c>
    </row>
    <row r="22" spans="4:7" ht="15.6" x14ac:dyDescent="0.3">
      <c r="E22" s="57" t="s">
        <v>54</v>
      </c>
      <c r="F22" s="57"/>
      <c r="G22" s="5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60B3-B608-419D-B8C9-A7AC077CC181}">
  <sheetPr>
    <tabColor theme="8" tint="0.59999389629810485"/>
  </sheetPr>
  <dimension ref="C1:Q19"/>
  <sheetViews>
    <sheetView workbookViewId="0">
      <selection activeCell="E22" sqref="E22"/>
    </sheetView>
  </sheetViews>
  <sheetFormatPr defaultRowHeight="15.6" x14ac:dyDescent="0.3"/>
  <cols>
    <col min="4" max="4" width="8.88671875" style="42"/>
    <col min="5" max="5" width="16.21875" bestFit="1" customWidth="1"/>
    <col min="6" max="6" width="13.44140625" bestFit="1" customWidth="1"/>
    <col min="7" max="7" width="15.44140625" bestFit="1" customWidth="1"/>
    <col min="8" max="8" width="14.33203125" customWidth="1"/>
    <col min="10" max="10" width="31.77734375" customWidth="1"/>
    <col min="11" max="11" width="34.5546875" customWidth="1"/>
  </cols>
  <sheetData>
    <row r="1" spans="3:17" ht="18" x14ac:dyDescent="0.35">
      <c r="C1" s="7" t="s">
        <v>56</v>
      </c>
      <c r="D1" s="60" t="s">
        <v>55</v>
      </c>
      <c r="E1" s="60"/>
      <c r="F1" s="60"/>
      <c r="G1" s="60"/>
      <c r="H1" s="60"/>
      <c r="I1" s="60"/>
      <c r="J1" s="60"/>
      <c r="K1" s="60"/>
    </row>
    <row r="2" spans="3:17" ht="14.4" x14ac:dyDescent="0.3">
      <c r="D2" s="41"/>
    </row>
    <row r="3" spans="3:17" x14ac:dyDescent="0.3">
      <c r="C3" s="9"/>
      <c r="D3" s="9"/>
      <c r="E3" s="38" t="s">
        <v>57</v>
      </c>
      <c r="F3" s="38" t="s">
        <v>58</v>
      </c>
      <c r="G3" s="38" t="s">
        <v>59</v>
      </c>
      <c r="H3" s="9"/>
      <c r="I3" s="9"/>
      <c r="J3" s="9"/>
    </row>
    <row r="4" spans="3:17" x14ac:dyDescent="0.3">
      <c r="C4" s="9"/>
      <c r="D4" s="9"/>
      <c r="E4" s="39" t="s">
        <v>60</v>
      </c>
      <c r="F4" s="39">
        <v>10</v>
      </c>
      <c r="G4" s="39">
        <v>12</v>
      </c>
      <c r="H4" s="9"/>
      <c r="I4" s="9"/>
      <c r="J4" s="9"/>
    </row>
    <row r="5" spans="3:17" x14ac:dyDescent="0.3">
      <c r="C5" s="9"/>
      <c r="D5" s="9"/>
      <c r="E5" s="39" t="s">
        <v>61</v>
      </c>
      <c r="F5" s="39">
        <v>10</v>
      </c>
      <c r="G5" s="39">
        <v>15</v>
      </c>
      <c r="H5" s="9"/>
      <c r="I5" s="9"/>
      <c r="J5" s="9"/>
    </row>
    <row r="6" spans="3:17" x14ac:dyDescent="0.3">
      <c r="C6" s="9"/>
      <c r="D6" s="9"/>
      <c r="E6" s="39" t="s">
        <v>62</v>
      </c>
      <c r="F6" s="39">
        <v>8</v>
      </c>
      <c r="G6" s="39">
        <v>12</v>
      </c>
      <c r="H6" s="9"/>
      <c r="I6" s="9"/>
      <c r="J6" s="9"/>
    </row>
    <row r="7" spans="3:17" x14ac:dyDescent="0.3">
      <c r="C7" s="9"/>
      <c r="D7" s="9"/>
      <c r="E7" s="9"/>
      <c r="F7" s="9"/>
      <c r="G7" s="9"/>
      <c r="H7" s="9"/>
      <c r="I7" s="9"/>
      <c r="J7" s="9"/>
    </row>
    <row r="8" spans="3:17" x14ac:dyDescent="0.3">
      <c r="C8" s="9"/>
      <c r="D8" s="45" t="s">
        <v>63</v>
      </c>
      <c r="E8" s="45"/>
      <c r="F8" s="45"/>
      <c r="G8" s="45"/>
      <c r="H8" s="45"/>
      <c r="I8" s="45"/>
      <c r="J8" s="45"/>
      <c r="K8" s="61"/>
      <c r="L8" s="61"/>
      <c r="M8" s="61"/>
      <c r="N8" s="61"/>
      <c r="O8" s="61"/>
      <c r="P8" s="61"/>
      <c r="Q8" s="61"/>
    </row>
    <row r="9" spans="3:17" x14ac:dyDescent="0.3">
      <c r="C9" s="9"/>
      <c r="D9" s="9"/>
      <c r="E9" s="9"/>
      <c r="F9" s="9"/>
      <c r="G9" s="9"/>
      <c r="H9" s="9"/>
      <c r="I9" s="9"/>
      <c r="J9" s="9"/>
    </row>
    <row r="10" spans="3:17" x14ac:dyDescent="0.3">
      <c r="C10" s="9"/>
      <c r="D10" s="45" t="s">
        <v>64</v>
      </c>
      <c r="E10" s="45"/>
      <c r="F10" s="45"/>
      <c r="G10" s="45"/>
      <c r="H10" s="45"/>
      <c r="I10" s="9"/>
      <c r="J10" s="9"/>
    </row>
    <row r="11" spans="3:17" x14ac:dyDescent="0.3">
      <c r="C11" s="9"/>
      <c r="D11" s="45" t="s">
        <v>65</v>
      </c>
      <c r="E11" s="45"/>
      <c r="F11" s="45"/>
      <c r="G11" s="45"/>
      <c r="H11" s="45"/>
      <c r="I11" s="9"/>
      <c r="J11" s="9"/>
    </row>
    <row r="12" spans="3:17" ht="14.4" x14ac:dyDescent="0.3">
      <c r="D12" s="41"/>
    </row>
    <row r="13" spans="3:17" ht="23.4" x14ac:dyDescent="0.45">
      <c r="C13" s="40" t="s">
        <v>18</v>
      </c>
      <c r="D13"/>
      <c r="E13" s="36" t="s">
        <v>57</v>
      </c>
      <c r="F13" s="36" t="s">
        <v>58</v>
      </c>
      <c r="G13" s="36" t="s">
        <v>59</v>
      </c>
      <c r="H13" s="28" t="s">
        <v>66</v>
      </c>
    </row>
    <row r="14" spans="3:17" x14ac:dyDescent="0.3">
      <c r="D14"/>
      <c r="E14" s="37" t="s">
        <v>60</v>
      </c>
      <c r="F14" s="37">
        <v>10</v>
      </c>
      <c r="G14" s="37">
        <v>12</v>
      </c>
      <c r="H14" s="30" t="str">
        <f>IF(F14&gt;G14,"Exceed","Ok")</f>
        <v>Ok</v>
      </c>
    </row>
    <row r="15" spans="3:17" x14ac:dyDescent="0.3">
      <c r="D15"/>
      <c r="E15" s="37" t="s">
        <v>61</v>
      </c>
      <c r="F15" s="37">
        <v>10</v>
      </c>
      <c r="G15" s="37">
        <v>15</v>
      </c>
      <c r="H15" s="30" t="str">
        <f t="shared" ref="H15:H16" si="0">IF(F15&gt;G15,"Exceed","Ok")</f>
        <v>Ok</v>
      </c>
    </row>
    <row r="16" spans="3:17" x14ac:dyDescent="0.3">
      <c r="D16"/>
      <c r="E16" s="37" t="s">
        <v>62</v>
      </c>
      <c r="F16" s="37">
        <v>8</v>
      </c>
      <c r="G16" s="37">
        <v>12</v>
      </c>
      <c r="H16" s="30" t="str">
        <f t="shared" si="0"/>
        <v>Ok</v>
      </c>
    </row>
    <row r="19" spans="3:6" ht="18" x14ac:dyDescent="0.35">
      <c r="C19" s="43"/>
      <c r="D19" s="43"/>
      <c r="E19" s="43" t="s">
        <v>67</v>
      </c>
      <c r="F19" s="44"/>
    </row>
  </sheetData>
  <mergeCells count="2">
    <mergeCell ref="D1:K1"/>
    <mergeCell ref="K8:Q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38E2-1891-427D-9176-ADBCBC8CDCDF}">
  <sheetPr>
    <tabColor theme="8" tint="0.39997558519241921"/>
  </sheetPr>
  <dimension ref="B1:J14"/>
  <sheetViews>
    <sheetView workbookViewId="0">
      <selection activeCell="J8" sqref="J8"/>
    </sheetView>
  </sheetViews>
  <sheetFormatPr defaultRowHeight="14.4" x14ac:dyDescent="0.3"/>
  <cols>
    <col min="5" max="5" width="5.6640625" customWidth="1"/>
    <col min="6" max="6" width="13.44140625" customWidth="1"/>
    <col min="7" max="7" width="14.88671875" customWidth="1"/>
  </cols>
  <sheetData>
    <row r="1" spans="2:10" ht="18" x14ac:dyDescent="0.35">
      <c r="B1" s="7" t="s">
        <v>69</v>
      </c>
      <c r="C1" s="60" t="s">
        <v>68</v>
      </c>
      <c r="D1" s="60"/>
      <c r="E1" s="60"/>
      <c r="F1" s="60"/>
      <c r="G1" s="60"/>
      <c r="H1" s="60"/>
      <c r="I1" s="60"/>
      <c r="J1" s="60"/>
    </row>
    <row r="3" spans="2:10" ht="15.6" x14ac:dyDescent="0.3">
      <c r="F3" s="46" t="s">
        <v>22</v>
      </c>
      <c r="G3" s="46" t="s">
        <v>70</v>
      </c>
    </row>
    <row r="4" spans="2:10" ht="15.6" x14ac:dyDescent="0.3">
      <c r="F4" s="47" t="s">
        <v>31</v>
      </c>
      <c r="G4" s="47">
        <v>55000</v>
      </c>
    </row>
    <row r="5" spans="2:10" ht="15.6" x14ac:dyDescent="0.3">
      <c r="F5" s="47" t="s">
        <v>72</v>
      </c>
      <c r="G5" s="47">
        <v>72000</v>
      </c>
    </row>
    <row r="6" spans="2:10" ht="15.6" x14ac:dyDescent="0.3">
      <c r="F6" s="47" t="s">
        <v>71</v>
      </c>
      <c r="G6" s="47">
        <v>62000</v>
      </c>
    </row>
    <row r="7" spans="2:10" ht="15.6" x14ac:dyDescent="0.3">
      <c r="F7" s="64" t="s">
        <v>33</v>
      </c>
      <c r="G7" s="64">
        <v>41000</v>
      </c>
    </row>
    <row r="8" spans="2:10" ht="15.6" x14ac:dyDescent="0.3">
      <c r="F8" s="65"/>
      <c r="G8" s="65"/>
    </row>
    <row r="11" spans="2:10" ht="21" x14ac:dyDescent="0.4">
      <c r="B11" s="4" t="s">
        <v>18</v>
      </c>
      <c r="F11" s="48">
        <f>INDEX(G4:G7,MATCH(F5,F4:F7,0))</f>
        <v>72000</v>
      </c>
      <c r="H11">
        <f>INDEX(G4:G7,MATCH(F5,F4:F7,0))</f>
        <v>72000</v>
      </c>
    </row>
    <row r="14" spans="2:10" ht="18" x14ac:dyDescent="0.35">
      <c r="F14" s="32" t="s">
        <v>73</v>
      </c>
      <c r="G14" s="32"/>
      <c r="H14" s="32"/>
      <c r="I14" s="32"/>
    </row>
  </sheetData>
  <mergeCells count="1">
    <mergeCell ref="C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8CA6-EFEA-43A8-AE32-1239F44FCC84}">
  <sheetPr>
    <tabColor theme="8" tint="-0.249977111117893"/>
  </sheetPr>
  <dimension ref="C1:O17"/>
  <sheetViews>
    <sheetView topLeftCell="B1" workbookViewId="0">
      <selection activeCell="L26" sqref="L26"/>
    </sheetView>
  </sheetViews>
  <sheetFormatPr defaultRowHeight="14.4" x14ac:dyDescent="0.3"/>
  <sheetData>
    <row r="1" spans="3:15" ht="21" x14ac:dyDescent="0.4">
      <c r="C1" s="25" t="s">
        <v>74</v>
      </c>
      <c r="D1" s="62" t="s">
        <v>75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4" spans="3:15" ht="15.6" x14ac:dyDescent="0.3">
      <c r="E4" s="50" t="s">
        <v>22</v>
      </c>
      <c r="F4" s="50" t="s">
        <v>70</v>
      </c>
    </row>
    <row r="5" spans="3:15" ht="15.6" x14ac:dyDescent="0.3">
      <c r="E5" s="51" t="s">
        <v>34</v>
      </c>
      <c r="F5" s="51" t="s">
        <v>26</v>
      </c>
    </row>
    <row r="6" spans="3:15" ht="15.6" x14ac:dyDescent="0.3">
      <c r="E6" s="51" t="s">
        <v>77</v>
      </c>
      <c r="F6" s="51" t="s">
        <v>25</v>
      </c>
    </row>
    <row r="7" spans="3:15" ht="15.6" x14ac:dyDescent="0.3">
      <c r="E7" s="51" t="s">
        <v>71</v>
      </c>
      <c r="F7" s="51" t="s">
        <v>28</v>
      </c>
    </row>
    <row r="8" spans="3:15" ht="15.6" x14ac:dyDescent="0.3">
      <c r="E8" s="51" t="s">
        <v>76</v>
      </c>
      <c r="F8" s="51" t="s">
        <v>27</v>
      </c>
    </row>
    <row r="12" spans="3:15" ht="18" x14ac:dyDescent="0.35">
      <c r="C12" s="44" t="s">
        <v>18</v>
      </c>
      <c r="E12" s="52" t="s">
        <v>22</v>
      </c>
      <c r="H12" s="14" t="s">
        <v>78</v>
      </c>
    </row>
    <row r="13" spans="3:15" ht="18" x14ac:dyDescent="0.3">
      <c r="E13" s="53" t="s">
        <v>77</v>
      </c>
      <c r="F13" s="49"/>
      <c r="H13" s="23" t="str">
        <f>_xlfn.XLOOKUP(E13,E5:E8,F5:F8,"Not Found",0,1)</f>
        <v>IT</v>
      </c>
    </row>
    <row r="17" spans="5:11" ht="18" x14ac:dyDescent="0.35">
      <c r="E17" s="63" t="s">
        <v>79</v>
      </c>
      <c r="F17" s="63"/>
      <c r="G17" s="63"/>
      <c r="H17" s="63"/>
      <c r="I17" s="63"/>
      <c r="J17" s="63"/>
      <c r="K17" s="63"/>
    </row>
  </sheetData>
  <mergeCells count="2">
    <mergeCell ref="D1:O1"/>
    <mergeCell ref="E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...</dc:creator>
  <cp:lastModifiedBy>prachiprempoudyal.10@gmail.com</cp:lastModifiedBy>
  <dcterms:created xsi:type="dcterms:W3CDTF">2026-01-05T15:45:21Z</dcterms:created>
  <dcterms:modified xsi:type="dcterms:W3CDTF">2026-02-13T07:30:52Z</dcterms:modified>
</cp:coreProperties>
</file>